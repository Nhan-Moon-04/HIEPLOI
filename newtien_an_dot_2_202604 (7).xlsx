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2qd3w8-my.sharepoint.com/personal/nthiennhan1611_2qd3w8_onmicrosoft_com/Documents/COMPANY/HIEP LOI Co.,ltd/CHẤM CÔNG/2026/04/"/>
    </mc:Choice>
  </mc:AlternateContent>
  <xr:revisionPtr revIDLastSave="126" documentId="8_{7A199878-B896-4236-9CA1-2A7272373029}" xr6:coauthVersionLast="47" xr6:coauthVersionMax="47" xr10:uidLastSave="{99E1ED19-C384-4061-AC92-9F822575C2DA}"/>
  <bookViews>
    <workbookView minimized="1" xWindow="90" yWindow="15" windowWidth="20460" windowHeight="10770" xr2:uid="{00000000-000D-0000-FFFF-FFFF00000000}"/>
  </bookViews>
  <sheets>
    <sheet name="Tien an do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6" i="1"/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9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6" i="1"/>
  <c r="L6" i="1"/>
  <c r="I6" i="1"/>
  <c r="F6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L10" i="1"/>
  <c r="I10" i="1"/>
  <c r="F10" i="1"/>
  <c r="I9" i="1"/>
  <c r="F9" i="1"/>
  <c r="L8" i="1"/>
  <c r="I8" i="1"/>
  <c r="F8" i="1"/>
  <c r="L7" i="1"/>
  <c r="I7" i="1"/>
  <c r="F7" i="1"/>
</calcChain>
</file>

<file path=xl/sharedStrings.xml><?xml version="1.0" encoding="utf-8"?>
<sst xmlns="http://schemas.openxmlformats.org/spreadsheetml/2006/main" count="88" uniqueCount="87">
  <si>
    <t>CÔNG TY TNHH HIỆP LỢI</t>
  </si>
  <si>
    <t>MST: 3701609885</t>
  </si>
  <si>
    <t>STT</t>
  </si>
  <si>
    <t>MSNV</t>
  </si>
  <si>
    <t>HỌ VÀ TÊN</t>
  </si>
  <si>
    <t>Số Bửa</t>
  </si>
  <si>
    <t>Tiền Cơm</t>
  </si>
  <si>
    <t>Cộng Tiền cơm</t>
  </si>
  <si>
    <t>Số Đêm</t>
  </si>
  <si>
    <t>Bồi Dưỡng Ca Đêm</t>
  </si>
  <si>
    <t>Cộng tiền bồi dưỡng Đêm</t>
  </si>
  <si>
    <t>Tiền BD Đi Phụ Xe</t>
  </si>
  <si>
    <t>Cộng tiền bồi dưỡng</t>
  </si>
  <si>
    <t>TIỀN ĐIỆN</t>
  </si>
  <si>
    <t>TIỀN THỰC LÃNH</t>
  </si>
  <si>
    <t>2</t>
  </si>
  <si>
    <t>PHUNG VAN GHET</t>
  </si>
  <si>
    <t>3</t>
  </si>
  <si>
    <t>DANG VAN TINH</t>
  </si>
  <si>
    <t>5</t>
  </si>
  <si>
    <t>BUI THI HOA</t>
  </si>
  <si>
    <t>6</t>
  </si>
  <si>
    <t>CHAU VAN LUAN</t>
  </si>
  <si>
    <t>7</t>
  </si>
  <si>
    <t>CAO LUU THIEN BAO</t>
  </si>
  <si>
    <t>8</t>
  </si>
  <si>
    <t>DANG KHOI NGOI</t>
  </si>
  <si>
    <t>9</t>
  </si>
  <si>
    <t>TRAN THI THUY NGUYEN</t>
  </si>
  <si>
    <t>11</t>
  </si>
  <si>
    <t>PHAN THI MY TIEN</t>
  </si>
  <si>
    <t>14</t>
  </si>
  <si>
    <t>NGUYEN THI HANG</t>
  </si>
  <si>
    <t>16</t>
  </si>
  <si>
    <t>LAM VAN DUOC</t>
  </si>
  <si>
    <t>18</t>
  </si>
  <si>
    <t>NGUYEN THIEN NHAN</t>
  </si>
  <si>
    <t>19</t>
  </si>
  <si>
    <t>PHAN DUY TAN</t>
  </si>
  <si>
    <t>20</t>
  </si>
  <si>
    <t>LE THI HONG HANH</t>
  </si>
  <si>
    <t>22</t>
  </si>
  <si>
    <t>NGUYEN VAN SACH</t>
  </si>
  <si>
    <t>23</t>
  </si>
  <si>
    <t>LE HOANG KEO</t>
  </si>
  <si>
    <t>24</t>
  </si>
  <si>
    <t>THACH HOAI TAN</t>
  </si>
  <si>
    <t>25</t>
  </si>
  <si>
    <t>HOANG THI TAN</t>
  </si>
  <si>
    <t>26</t>
  </si>
  <si>
    <t>LE DINH THANH</t>
  </si>
  <si>
    <t>28</t>
  </si>
  <si>
    <t>PHAM VAN THONG</t>
  </si>
  <si>
    <t>29</t>
  </si>
  <si>
    <t>PHAM THI LE HOA</t>
  </si>
  <si>
    <t>30</t>
  </si>
  <si>
    <t>NGUYEN THI XIEU</t>
  </si>
  <si>
    <t>31</t>
  </si>
  <si>
    <t>LUU THI TUYET DIEM</t>
  </si>
  <si>
    <t>32</t>
  </si>
  <si>
    <t>NGUYEN THI NGHIA</t>
  </si>
  <si>
    <t>33</t>
  </si>
  <si>
    <t>NGUYEN VAN XUAN</t>
  </si>
  <si>
    <t>35</t>
  </si>
  <si>
    <t>LE THI THU HANG</t>
  </si>
  <si>
    <t>36</t>
  </si>
  <si>
    <t>NGO THUY KIEU THANH UYEN</t>
  </si>
  <si>
    <t>37</t>
  </si>
  <si>
    <t>LE THI DUA</t>
  </si>
  <si>
    <t>38</t>
  </si>
  <si>
    <t>DUONG THANH LONG</t>
  </si>
  <si>
    <t>39</t>
  </si>
  <si>
    <t>TRAN THI NGA</t>
  </si>
  <si>
    <t>40</t>
  </si>
  <si>
    <t>PHAM THI LUN</t>
  </si>
  <si>
    <t>42</t>
  </si>
  <si>
    <t>DANG QUOC TOAN</t>
  </si>
  <si>
    <t>48</t>
  </si>
  <si>
    <t>PHAN MINH HUNG</t>
  </si>
  <si>
    <t>50</t>
  </si>
  <si>
    <t>NGUYEN THI NHAN</t>
  </si>
  <si>
    <t>TRIEU HUE KIEU</t>
  </si>
  <si>
    <t>TỔNG CỘNG</t>
  </si>
  <si>
    <t>TIỀN CƠM VÀ TIỀN BỒI DƯỠNG TĂNG CA ĐÊM TỪ NGÀY 16/04/2026 - 28/04/2026</t>
  </si>
  <si>
    <t>SỐ TIÈN THIẾU</t>
  </si>
  <si>
    <t>KÍ NHẬN</t>
  </si>
  <si>
    <t>SỐ TIỀN DƯ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</si>
</sst>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-#,##0;&quot; - &quot;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zoomScale="145" zoomScaleNormal="145" workbookViewId="0">
      <pane ySplit="5" topLeftCell="A6" activePane="bottomLeft" state="frozen"/>
      <selection pane="bottomLeft" activeCell="F7" sqref="F7"/>
    </sheetView>
  </sheetViews>
  <sheetFormatPr defaultRowHeight="15" x14ac:dyDescent="0.25"/>
  <cols>
    <col min="1" max="1" width="5" customWidth="1"/>
    <col min="2" max="2" width="8.85546875" customWidth="1"/>
    <col min="3" max="3" width="33.28515625" bestFit="1" customWidth="1"/>
    <col min="4" max="4" width="10" customWidth="1"/>
    <col min="5" max="5" width="12" customWidth="1"/>
    <col min="6" max="6" width="14" customWidth="1"/>
    <col min="7" max="7" width="8" customWidth="1"/>
    <col min="8" max="8" width="12" customWidth="1"/>
    <col min="9" max="9" width="14" customWidth="1"/>
    <col min="10" max="10" width="10" customWidth="1"/>
    <col min="11" max="12" width="14" customWidth="1"/>
    <col min="13" max="13" width="10" customWidth="1"/>
    <col min="14" max="14" width="14.5703125" bestFit="1" customWidth="1"/>
    <col min="15" max="16" width="20" customWidth="1"/>
    <col min="17" max="17" width="16.28515625" customWidth="1"/>
  </cols>
  <sheetData>
    <row r="1" spans="1:17" ht="9.75" customHeight="1" x14ac:dyDescent="0.25">
      <c r="A1" t="s">
        <v>0</v>
      </c>
    </row>
    <row r="2" spans="1:17" ht="12.75" customHeight="1" x14ac:dyDescent="0.25">
      <c r="A2" t="s">
        <v>1</v>
      </c>
    </row>
    <row r="3" spans="1:17" ht="27" customHeight="1" x14ac:dyDescent="0.25">
      <c r="A3" s="11" t="s">
        <v>83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"/>
    </row>
    <row r="4" spans="1:17" ht="1.5" customHeight="1" x14ac:dyDescent="0.25"/>
    <row r="5" spans="1:17" ht="25.5" x14ac:dyDescent="0.25">
      <c r="A5" s="5" t="s">
        <v>2</v>
      </c>
      <c r="B5" s="5" t="s">
        <v>3</v>
      </c>
      <c r="C5" s="5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5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84</v>
      </c>
      <c r="P5" s="2" t="s">
        <v>86</v>
      </c>
      <c r="Q5" s="2" t="s">
        <v>85</v>
      </c>
    </row>
    <row r="6" spans="1:17" ht="19.5" customHeight="1" x14ac:dyDescent="0.25">
      <c r="A6" s="6">
        <f>ROW()-5</f>
        <v>1</v>
      </c>
      <c r="B6" s="6">
        <v>1</v>
      </c>
      <c r="C6" s="6" t="s">
        <v>81</v>
      </c>
      <c r="D6" s="7">
        <v>20</v>
      </c>
      <c r="E6" s="7">
        <v>40000</v>
      </c>
      <c r="F6" s="7">
        <f t="shared" ref="F6" si="0">D6*E6</f>
        <v>800000</v>
      </c>
      <c r="G6" s="7">
        <v>0</v>
      </c>
      <c r="H6" s="7">
        <v>0</v>
      </c>
      <c r="I6" s="7">
        <f t="shared" ref="I6" si="1">G6*H6</f>
        <v>0</v>
      </c>
      <c r="J6" s="8"/>
      <c r="K6" s="8"/>
      <c r="L6" s="8">
        <f t="shared" ref="L6" si="2">J6*K6</f>
        <v>0</v>
      </c>
      <c r="M6" s="7"/>
      <c r="N6" s="4">
        <f>F6+I6+L6-M6-O6+P6</f>
        <v>800000</v>
      </c>
      <c r="O6" s="9"/>
      <c r="P6" s="9"/>
      <c r="Q6" s="9"/>
    </row>
    <row r="7" spans="1:17" ht="20.25" customHeight="1" x14ac:dyDescent="0.25">
      <c r="A7" s="6">
        <f t="shared" ref="A7:A39" si="3">ROW()-5</f>
        <v>2</v>
      </c>
      <c r="B7" s="6" t="s">
        <v>15</v>
      </c>
      <c r="C7" s="6" t="s">
        <v>16</v>
      </c>
      <c r="D7" s="7">
        <v>8</v>
      </c>
      <c r="E7" s="7">
        <v>40000</v>
      </c>
      <c r="F7" s="7">
        <f>D7*E7</f>
        <v>320000</v>
      </c>
      <c r="G7" s="7">
        <v>0</v>
      </c>
      <c r="H7" s="7">
        <v>0</v>
      </c>
      <c r="I7" s="7">
        <f>G7*H7</f>
        <v>0</v>
      </c>
      <c r="J7" s="8"/>
      <c r="K7" s="8"/>
      <c r="L7" s="8">
        <f>J7*K7</f>
        <v>0</v>
      </c>
      <c r="M7" s="7"/>
      <c r="N7" s="4">
        <f t="shared" ref="N7:N39" si="4">F7+I7+L7-M7-O7+P7</f>
        <v>320000</v>
      </c>
      <c r="O7" s="9"/>
      <c r="P7" s="9"/>
      <c r="Q7" s="9"/>
    </row>
    <row r="8" spans="1:17" ht="21.95" customHeight="1" x14ac:dyDescent="0.25">
      <c r="A8" s="6">
        <f t="shared" si="3"/>
        <v>3</v>
      </c>
      <c r="B8" s="6" t="s">
        <v>17</v>
      </c>
      <c r="C8" s="6" t="s">
        <v>18</v>
      </c>
      <c r="D8" s="7">
        <v>13</v>
      </c>
      <c r="E8" s="7">
        <v>40000</v>
      </c>
      <c r="F8" s="7">
        <f t="shared" ref="F8:F39" si="5">D8*E8</f>
        <v>520000</v>
      </c>
      <c r="G8" s="7">
        <v>0</v>
      </c>
      <c r="H8" s="7">
        <v>0</v>
      </c>
      <c r="I8" s="7">
        <f t="shared" ref="I8:I39" si="6">G8*H8</f>
        <v>0</v>
      </c>
      <c r="J8" s="8"/>
      <c r="K8" s="8"/>
      <c r="L8" s="8">
        <f t="shared" ref="L8:L39" si="7">J8*K8</f>
        <v>0</v>
      </c>
      <c r="M8" s="7"/>
      <c r="N8" s="4">
        <f t="shared" si="4"/>
        <v>515000</v>
      </c>
      <c r="O8" s="9">
        <v>5000</v>
      </c>
      <c r="P8" s="9"/>
      <c r="Q8" s="9"/>
    </row>
    <row r="9" spans="1:17" ht="21.95" customHeight="1" x14ac:dyDescent="0.25">
      <c r="A9" s="6">
        <f t="shared" si="3"/>
        <v>4</v>
      </c>
      <c r="B9" s="6" t="s">
        <v>19</v>
      </c>
      <c r="C9" s="6" t="s">
        <v>20</v>
      </c>
      <c r="D9" s="7">
        <v>12</v>
      </c>
      <c r="E9" s="7">
        <v>40000</v>
      </c>
      <c r="F9" s="7">
        <f t="shared" si="5"/>
        <v>480000</v>
      </c>
      <c r="G9" s="7">
        <v>0</v>
      </c>
      <c r="H9" s="7">
        <v>0</v>
      </c>
      <c r="I9" s="7">
        <f t="shared" si="6"/>
        <v>0</v>
      </c>
      <c r="J9" s="8"/>
      <c r="K9" s="8"/>
      <c r="L9" s="8">
        <f t="shared" si="7"/>
        <v>0</v>
      </c>
      <c r="M9" s="7"/>
      <c r="N9" s="4">
        <f t="shared" si="4"/>
        <v>480000</v>
      </c>
      <c r="O9" s="9"/>
      <c r="P9" s="9"/>
      <c r="Q9" s="9"/>
    </row>
    <row r="10" spans="1:17" ht="21.95" customHeight="1" x14ac:dyDescent="0.25">
      <c r="A10" s="6">
        <f t="shared" si="3"/>
        <v>5</v>
      </c>
      <c r="B10" s="6" t="s">
        <v>21</v>
      </c>
      <c r="C10" s="6" t="s">
        <v>22</v>
      </c>
      <c r="D10" s="7">
        <v>11</v>
      </c>
      <c r="E10" s="7">
        <v>40000</v>
      </c>
      <c r="F10" s="7">
        <f t="shared" si="5"/>
        <v>440000</v>
      </c>
      <c r="G10" s="7">
        <v>0</v>
      </c>
      <c r="H10" s="7">
        <v>0</v>
      </c>
      <c r="I10" s="7">
        <f t="shared" si="6"/>
        <v>0</v>
      </c>
      <c r="J10" s="8">
        <v>6</v>
      </c>
      <c r="K10" s="8">
        <v>30000</v>
      </c>
      <c r="L10" s="8">
        <f t="shared" si="7"/>
        <v>180000</v>
      </c>
      <c r="M10" s="7"/>
      <c r="N10" s="4">
        <f t="shared" si="4"/>
        <v>635000</v>
      </c>
      <c r="O10" s="9"/>
      <c r="P10" s="9">
        <v>15000</v>
      </c>
      <c r="Q10" s="9"/>
    </row>
    <row r="11" spans="1:17" ht="21.95" customHeight="1" x14ac:dyDescent="0.25">
      <c r="A11" s="6">
        <f t="shared" si="3"/>
        <v>6</v>
      </c>
      <c r="B11" s="6" t="s">
        <v>23</v>
      </c>
      <c r="C11" s="6" t="s">
        <v>24</v>
      </c>
      <c r="D11" s="7">
        <v>14</v>
      </c>
      <c r="E11" s="7">
        <v>40000</v>
      </c>
      <c r="F11" s="7">
        <f t="shared" si="5"/>
        <v>560000</v>
      </c>
      <c r="G11" s="7">
        <v>0</v>
      </c>
      <c r="H11" s="7">
        <v>0</v>
      </c>
      <c r="I11" s="7">
        <f t="shared" si="6"/>
        <v>0</v>
      </c>
      <c r="J11" s="8"/>
      <c r="K11" s="8"/>
      <c r="L11" s="8">
        <f t="shared" si="7"/>
        <v>0</v>
      </c>
      <c r="M11" s="7"/>
      <c r="N11" s="4">
        <f t="shared" si="4"/>
        <v>550000</v>
      </c>
      <c r="O11" s="9">
        <v>10000</v>
      </c>
      <c r="P11" s="9"/>
      <c r="Q11" s="9"/>
    </row>
    <row r="12" spans="1:17" ht="21.95" customHeight="1" x14ac:dyDescent="0.25">
      <c r="A12" s="6">
        <f t="shared" si="3"/>
        <v>7</v>
      </c>
      <c r="B12" s="6" t="s">
        <v>25</v>
      </c>
      <c r="C12" s="6" t="s">
        <v>26</v>
      </c>
      <c r="D12" s="7">
        <v>11</v>
      </c>
      <c r="E12" s="7">
        <v>40000</v>
      </c>
      <c r="F12" s="7">
        <f t="shared" si="5"/>
        <v>440000</v>
      </c>
      <c r="G12" s="7">
        <v>0</v>
      </c>
      <c r="H12" s="7">
        <v>0</v>
      </c>
      <c r="I12" s="7">
        <f t="shared" si="6"/>
        <v>0</v>
      </c>
      <c r="J12" s="8"/>
      <c r="K12" s="8"/>
      <c r="L12" s="8">
        <f t="shared" si="7"/>
        <v>0</v>
      </c>
      <c r="M12" s="7"/>
      <c r="N12" s="4">
        <f t="shared" si="4"/>
        <v>440000</v>
      </c>
      <c r="O12" s="9"/>
      <c r="P12" s="9"/>
      <c r="Q12" s="9"/>
    </row>
    <row r="13" spans="1:17" ht="21.95" customHeight="1" x14ac:dyDescent="0.25">
      <c r="A13" s="6">
        <f t="shared" si="3"/>
        <v>8</v>
      </c>
      <c r="B13" s="6" t="s">
        <v>27</v>
      </c>
      <c r="C13" s="6" t="s">
        <v>28</v>
      </c>
      <c r="D13" s="7">
        <v>11</v>
      </c>
      <c r="E13" s="7">
        <v>40000</v>
      </c>
      <c r="F13" s="7">
        <f t="shared" si="5"/>
        <v>440000</v>
      </c>
      <c r="G13" s="7">
        <v>0</v>
      </c>
      <c r="H13" s="7">
        <v>0</v>
      </c>
      <c r="I13" s="7">
        <f t="shared" si="6"/>
        <v>0</v>
      </c>
      <c r="J13" s="8"/>
      <c r="K13" s="8"/>
      <c r="L13" s="8">
        <f t="shared" si="7"/>
        <v>0</v>
      </c>
      <c r="M13" s="7"/>
      <c r="N13" s="4">
        <f t="shared" si="4"/>
        <v>440000</v>
      </c>
      <c r="O13" s="3"/>
      <c r="P13" s="3"/>
      <c r="Q13" s="9"/>
    </row>
    <row r="14" spans="1:17" ht="21.95" customHeight="1" x14ac:dyDescent="0.25">
      <c r="A14" s="6">
        <f t="shared" si="3"/>
        <v>9</v>
      </c>
      <c r="B14" s="6" t="s">
        <v>29</v>
      </c>
      <c r="C14" s="6" t="s">
        <v>30</v>
      </c>
      <c r="D14" s="7">
        <v>26</v>
      </c>
      <c r="E14" s="7">
        <v>35000</v>
      </c>
      <c r="F14" s="7">
        <f t="shared" si="5"/>
        <v>910000</v>
      </c>
      <c r="G14" s="7">
        <v>0</v>
      </c>
      <c r="H14" s="7">
        <v>0</v>
      </c>
      <c r="I14" s="7">
        <f t="shared" si="6"/>
        <v>0</v>
      </c>
      <c r="J14" s="8"/>
      <c r="K14" s="8"/>
      <c r="L14" s="8">
        <f t="shared" si="7"/>
        <v>0</v>
      </c>
      <c r="M14" s="7"/>
      <c r="N14" s="4">
        <f t="shared" si="4"/>
        <v>910000</v>
      </c>
      <c r="O14" s="3"/>
      <c r="P14" s="3"/>
      <c r="Q14" s="9"/>
    </row>
    <row r="15" spans="1:17" ht="21.95" customHeight="1" x14ac:dyDescent="0.25">
      <c r="A15" s="6">
        <f t="shared" si="3"/>
        <v>10</v>
      </c>
      <c r="B15" s="6" t="s">
        <v>31</v>
      </c>
      <c r="C15" s="6" t="s">
        <v>32</v>
      </c>
      <c r="D15" s="7">
        <v>12</v>
      </c>
      <c r="E15" s="7">
        <v>35000</v>
      </c>
      <c r="F15" s="7">
        <f t="shared" si="5"/>
        <v>420000</v>
      </c>
      <c r="G15" s="7">
        <v>0</v>
      </c>
      <c r="H15" s="7">
        <v>0</v>
      </c>
      <c r="I15" s="7">
        <f t="shared" si="6"/>
        <v>0</v>
      </c>
      <c r="J15" s="8"/>
      <c r="K15" s="8"/>
      <c r="L15" s="8">
        <f t="shared" si="7"/>
        <v>0</v>
      </c>
      <c r="M15" s="7"/>
      <c r="N15" s="4">
        <f t="shared" si="4"/>
        <v>420000</v>
      </c>
      <c r="O15" s="3"/>
      <c r="P15" s="3"/>
      <c r="Q15" s="9"/>
    </row>
    <row r="16" spans="1:17" ht="21.95" customHeight="1" x14ac:dyDescent="0.25">
      <c r="A16" s="6">
        <f t="shared" si="3"/>
        <v>11</v>
      </c>
      <c r="B16" s="6" t="s">
        <v>33</v>
      </c>
      <c r="C16" s="6" t="s">
        <v>34</v>
      </c>
      <c r="D16" s="7">
        <v>11</v>
      </c>
      <c r="E16" s="7">
        <v>35000</v>
      </c>
      <c r="F16" s="7">
        <f t="shared" si="5"/>
        <v>385000</v>
      </c>
      <c r="G16" s="7">
        <v>0</v>
      </c>
      <c r="H16" s="7">
        <v>0</v>
      </c>
      <c r="I16" s="7">
        <f t="shared" si="6"/>
        <v>0</v>
      </c>
      <c r="J16" s="8"/>
      <c r="K16" s="8"/>
      <c r="L16" s="8">
        <f t="shared" si="7"/>
        <v>0</v>
      </c>
      <c r="M16" s="7"/>
      <c r="N16" s="4">
        <f t="shared" si="4"/>
        <v>385000</v>
      </c>
      <c r="O16" s="3"/>
      <c r="P16" s="3"/>
      <c r="Q16" s="9"/>
    </row>
    <row r="17" spans="1:17" ht="21.95" customHeight="1" x14ac:dyDescent="0.25">
      <c r="A17" s="6">
        <f t="shared" si="3"/>
        <v>12</v>
      </c>
      <c r="B17" s="6" t="s">
        <v>35</v>
      </c>
      <c r="C17" s="6" t="s">
        <v>36</v>
      </c>
      <c r="D17" s="7">
        <v>20</v>
      </c>
      <c r="E17" s="7">
        <v>40000</v>
      </c>
      <c r="F17" s="7">
        <f t="shared" si="5"/>
        <v>800000</v>
      </c>
      <c r="G17" s="7">
        <v>0</v>
      </c>
      <c r="H17" s="7">
        <v>0</v>
      </c>
      <c r="I17" s="7">
        <f t="shared" si="6"/>
        <v>0</v>
      </c>
      <c r="J17" s="8"/>
      <c r="K17" s="8"/>
      <c r="L17" s="8">
        <f t="shared" si="7"/>
        <v>0</v>
      </c>
      <c r="M17" s="7"/>
      <c r="N17" s="4">
        <f t="shared" si="4"/>
        <v>800000</v>
      </c>
      <c r="O17" s="3"/>
      <c r="P17" s="3"/>
      <c r="Q17" s="9"/>
    </row>
    <row r="18" spans="1:17" ht="21.95" customHeight="1" x14ac:dyDescent="0.25">
      <c r="A18" s="6">
        <f t="shared" si="3"/>
        <v>13</v>
      </c>
      <c r="B18" s="6" t="s">
        <v>37</v>
      </c>
      <c r="C18" s="6" t="s">
        <v>38</v>
      </c>
      <c r="D18" s="7">
        <v>11</v>
      </c>
      <c r="E18" s="7">
        <v>35000</v>
      </c>
      <c r="F18" s="7">
        <f t="shared" si="5"/>
        <v>385000</v>
      </c>
      <c r="G18" s="7">
        <v>0</v>
      </c>
      <c r="H18" s="7">
        <v>0</v>
      </c>
      <c r="I18" s="7">
        <f t="shared" si="6"/>
        <v>0</v>
      </c>
      <c r="J18" s="8"/>
      <c r="K18" s="8"/>
      <c r="L18" s="8">
        <f t="shared" si="7"/>
        <v>0</v>
      </c>
      <c r="M18" s="7"/>
      <c r="N18" s="4">
        <f t="shared" si="4"/>
        <v>385000</v>
      </c>
      <c r="O18" s="3"/>
      <c r="P18" s="3"/>
      <c r="Q18" s="9"/>
    </row>
    <row r="19" spans="1:17" ht="21.95" customHeight="1" x14ac:dyDescent="0.25">
      <c r="A19" s="6">
        <f t="shared" si="3"/>
        <v>14</v>
      </c>
      <c r="B19" s="6" t="s">
        <v>39</v>
      </c>
      <c r="C19" s="6" t="s">
        <v>40</v>
      </c>
      <c r="D19" s="7">
        <v>11</v>
      </c>
      <c r="E19" s="7">
        <v>35000</v>
      </c>
      <c r="F19" s="7">
        <f t="shared" si="5"/>
        <v>385000</v>
      </c>
      <c r="G19" s="7">
        <v>0</v>
      </c>
      <c r="H19" s="7">
        <v>0</v>
      </c>
      <c r="I19" s="7">
        <f t="shared" si="6"/>
        <v>0</v>
      </c>
      <c r="J19" s="8"/>
      <c r="K19" s="8"/>
      <c r="L19" s="8">
        <f t="shared" si="7"/>
        <v>0</v>
      </c>
      <c r="M19" s="7"/>
      <c r="N19" s="4">
        <f t="shared" si="4"/>
        <v>385000</v>
      </c>
      <c r="O19" s="3"/>
      <c r="P19" s="3"/>
      <c r="Q19" s="9"/>
    </row>
    <row r="20" spans="1:17" ht="21.95" customHeight="1" x14ac:dyDescent="0.25">
      <c r="A20" s="6">
        <f t="shared" si="3"/>
        <v>15</v>
      </c>
      <c r="B20" s="6" t="s">
        <v>41</v>
      </c>
      <c r="C20" s="6" t="s">
        <v>42</v>
      </c>
      <c r="D20" s="7">
        <v>11</v>
      </c>
      <c r="E20" s="7">
        <v>35000</v>
      </c>
      <c r="F20" s="7">
        <f t="shared" si="5"/>
        <v>385000</v>
      </c>
      <c r="G20" s="7">
        <v>0</v>
      </c>
      <c r="H20" s="7">
        <v>0</v>
      </c>
      <c r="I20" s="7">
        <f t="shared" si="6"/>
        <v>0</v>
      </c>
      <c r="J20" s="8"/>
      <c r="K20" s="8"/>
      <c r="L20" s="8">
        <f t="shared" si="7"/>
        <v>0</v>
      </c>
      <c r="M20" s="7"/>
      <c r="N20" s="4">
        <f t="shared" si="4"/>
        <v>385000</v>
      </c>
      <c r="O20" s="3"/>
      <c r="P20" s="3"/>
      <c r="Q20" s="9"/>
    </row>
    <row r="21" spans="1:17" ht="21.95" customHeight="1" x14ac:dyDescent="0.25">
      <c r="A21" s="6">
        <f t="shared" si="3"/>
        <v>16</v>
      </c>
      <c r="B21" s="6" t="s">
        <v>43</v>
      </c>
      <c r="C21" s="6" t="s">
        <v>44</v>
      </c>
      <c r="D21" s="7">
        <v>11</v>
      </c>
      <c r="E21" s="7">
        <v>35000</v>
      </c>
      <c r="F21" s="7">
        <f t="shared" si="5"/>
        <v>385000</v>
      </c>
      <c r="G21" s="7">
        <v>0</v>
      </c>
      <c r="H21" s="7">
        <v>0</v>
      </c>
      <c r="I21" s="7">
        <f t="shared" si="6"/>
        <v>0</v>
      </c>
      <c r="J21" s="8"/>
      <c r="K21" s="8"/>
      <c r="L21" s="8">
        <f t="shared" si="7"/>
        <v>0</v>
      </c>
      <c r="M21" s="7"/>
      <c r="N21" s="4">
        <f t="shared" si="4"/>
        <v>385000</v>
      </c>
      <c r="O21" s="3"/>
      <c r="P21" s="3"/>
      <c r="Q21" s="9"/>
    </row>
    <row r="22" spans="1:17" ht="21.95" customHeight="1" x14ac:dyDescent="0.25">
      <c r="A22" s="6">
        <f t="shared" si="3"/>
        <v>17</v>
      </c>
      <c r="B22" s="6" t="s">
        <v>45</v>
      </c>
      <c r="C22" s="6" t="s">
        <v>46</v>
      </c>
      <c r="D22" s="7">
        <v>3</v>
      </c>
      <c r="E22" s="7">
        <v>35000</v>
      </c>
      <c r="F22" s="7">
        <f t="shared" si="5"/>
        <v>105000</v>
      </c>
      <c r="G22" s="7">
        <v>0</v>
      </c>
      <c r="H22" s="7">
        <v>0</v>
      </c>
      <c r="I22" s="7">
        <f t="shared" si="6"/>
        <v>0</v>
      </c>
      <c r="J22" s="8"/>
      <c r="K22" s="8"/>
      <c r="L22" s="8">
        <f t="shared" si="7"/>
        <v>0</v>
      </c>
      <c r="M22" s="7"/>
      <c r="N22" s="4">
        <f t="shared" si="4"/>
        <v>105000</v>
      </c>
      <c r="O22" s="3"/>
      <c r="P22" s="3"/>
      <c r="Q22" s="9"/>
    </row>
    <row r="23" spans="1:17" ht="21.95" customHeight="1" x14ac:dyDescent="0.25">
      <c r="A23" s="6">
        <f t="shared" si="3"/>
        <v>18</v>
      </c>
      <c r="B23" s="6" t="s">
        <v>47</v>
      </c>
      <c r="C23" s="6" t="s">
        <v>48</v>
      </c>
      <c r="D23" s="7">
        <v>11</v>
      </c>
      <c r="E23" s="7">
        <v>35000</v>
      </c>
      <c r="F23" s="7">
        <f t="shared" si="5"/>
        <v>385000</v>
      </c>
      <c r="G23" s="7">
        <v>0</v>
      </c>
      <c r="H23" s="7">
        <v>0</v>
      </c>
      <c r="I23" s="7">
        <f t="shared" si="6"/>
        <v>0</v>
      </c>
      <c r="J23" s="8"/>
      <c r="K23" s="8"/>
      <c r="L23" s="8">
        <f t="shared" si="7"/>
        <v>0</v>
      </c>
      <c r="M23" s="7"/>
      <c r="N23" s="4">
        <f t="shared" si="4"/>
        <v>385000</v>
      </c>
      <c r="O23" s="3"/>
      <c r="P23" s="3"/>
      <c r="Q23" s="9"/>
    </row>
    <row r="24" spans="1:17" ht="21.95" customHeight="1" x14ac:dyDescent="0.25">
      <c r="A24" s="6">
        <f t="shared" si="3"/>
        <v>19</v>
      </c>
      <c r="B24" s="6" t="s">
        <v>49</v>
      </c>
      <c r="C24" s="6" t="s">
        <v>50</v>
      </c>
      <c r="D24" s="7">
        <v>9</v>
      </c>
      <c r="E24" s="7">
        <v>35000</v>
      </c>
      <c r="F24" s="7">
        <f t="shared" si="5"/>
        <v>315000</v>
      </c>
      <c r="G24" s="7">
        <v>0</v>
      </c>
      <c r="H24" s="7">
        <v>0</v>
      </c>
      <c r="I24" s="7">
        <f t="shared" si="6"/>
        <v>0</v>
      </c>
      <c r="J24" s="8"/>
      <c r="K24" s="8"/>
      <c r="L24" s="8">
        <f t="shared" si="7"/>
        <v>0</v>
      </c>
      <c r="M24" s="7"/>
      <c r="N24" s="4">
        <f t="shared" si="4"/>
        <v>315000</v>
      </c>
      <c r="O24" s="3"/>
      <c r="P24" s="3"/>
      <c r="Q24" s="9"/>
    </row>
    <row r="25" spans="1:17" ht="21.95" customHeight="1" x14ac:dyDescent="0.25">
      <c r="A25" s="6">
        <f t="shared" si="3"/>
        <v>20</v>
      </c>
      <c r="B25" s="6" t="s">
        <v>51</v>
      </c>
      <c r="C25" s="6" t="s">
        <v>52</v>
      </c>
      <c r="D25" s="7">
        <v>11</v>
      </c>
      <c r="E25" s="7">
        <v>35000</v>
      </c>
      <c r="F25" s="7">
        <f t="shared" si="5"/>
        <v>385000</v>
      </c>
      <c r="G25" s="7">
        <v>0</v>
      </c>
      <c r="H25" s="7">
        <v>0</v>
      </c>
      <c r="I25" s="7">
        <f t="shared" si="6"/>
        <v>0</v>
      </c>
      <c r="J25" s="8"/>
      <c r="K25" s="8"/>
      <c r="L25" s="8">
        <f t="shared" si="7"/>
        <v>0</v>
      </c>
      <c r="M25" s="7"/>
      <c r="N25" s="4">
        <f t="shared" si="4"/>
        <v>385000</v>
      </c>
      <c r="O25" s="3"/>
      <c r="P25" s="3"/>
      <c r="Q25" s="9"/>
    </row>
    <row r="26" spans="1:17" ht="21.95" customHeight="1" x14ac:dyDescent="0.25">
      <c r="A26" s="6">
        <f t="shared" si="3"/>
        <v>21</v>
      </c>
      <c r="B26" s="6" t="s">
        <v>53</v>
      </c>
      <c r="C26" s="6" t="s">
        <v>54</v>
      </c>
      <c r="D26" s="7">
        <v>9</v>
      </c>
      <c r="E26" s="7">
        <v>35000</v>
      </c>
      <c r="F26" s="7">
        <f t="shared" si="5"/>
        <v>315000</v>
      </c>
      <c r="G26" s="7">
        <v>0</v>
      </c>
      <c r="H26" s="7">
        <v>0</v>
      </c>
      <c r="I26" s="7">
        <f t="shared" si="6"/>
        <v>0</v>
      </c>
      <c r="J26" s="8"/>
      <c r="K26" s="8"/>
      <c r="L26" s="8">
        <f t="shared" si="7"/>
        <v>0</v>
      </c>
      <c r="M26" s="7"/>
      <c r="N26" s="4">
        <f t="shared" si="4"/>
        <v>315000</v>
      </c>
      <c r="O26" s="3"/>
      <c r="P26" s="3"/>
      <c r="Q26" s="9"/>
    </row>
    <row r="27" spans="1:17" ht="21.95" customHeight="1" x14ac:dyDescent="0.25">
      <c r="A27" s="6">
        <f t="shared" si="3"/>
        <v>22</v>
      </c>
      <c r="B27" s="6" t="s">
        <v>55</v>
      </c>
      <c r="C27" s="6" t="s">
        <v>56</v>
      </c>
      <c r="D27" s="7">
        <v>18</v>
      </c>
      <c r="E27" s="7">
        <v>35000</v>
      </c>
      <c r="F27" s="7">
        <f t="shared" si="5"/>
        <v>630000</v>
      </c>
      <c r="G27" s="7">
        <v>6</v>
      </c>
      <c r="H27" s="7">
        <v>100000</v>
      </c>
      <c r="I27" s="7">
        <f t="shared" si="6"/>
        <v>600000</v>
      </c>
      <c r="J27" s="8"/>
      <c r="K27" s="8"/>
      <c r="L27" s="8">
        <f t="shared" si="7"/>
        <v>0</v>
      </c>
      <c r="M27" s="7"/>
      <c r="N27" s="4">
        <f t="shared" si="4"/>
        <v>1230000</v>
      </c>
      <c r="O27" s="3"/>
      <c r="P27" s="3"/>
      <c r="Q27" s="9"/>
    </row>
    <row r="28" spans="1:17" ht="21.95" customHeight="1" x14ac:dyDescent="0.25">
      <c r="A28" s="6">
        <f t="shared" si="3"/>
        <v>23</v>
      </c>
      <c r="B28" s="6" t="s">
        <v>57</v>
      </c>
      <c r="C28" s="6" t="s">
        <v>58</v>
      </c>
      <c r="D28" s="7">
        <v>18</v>
      </c>
      <c r="E28" s="7">
        <v>35000</v>
      </c>
      <c r="F28" s="7">
        <f t="shared" si="5"/>
        <v>630000</v>
      </c>
      <c r="G28" s="7">
        <v>6</v>
      </c>
      <c r="H28" s="7">
        <v>100000</v>
      </c>
      <c r="I28" s="7">
        <f t="shared" si="6"/>
        <v>600000</v>
      </c>
      <c r="J28" s="8"/>
      <c r="K28" s="8"/>
      <c r="L28" s="8">
        <f t="shared" si="7"/>
        <v>0</v>
      </c>
      <c r="M28" s="7"/>
      <c r="N28" s="4">
        <f t="shared" si="4"/>
        <v>1230000</v>
      </c>
      <c r="O28" s="3"/>
      <c r="P28" s="3"/>
      <c r="Q28" s="9"/>
    </row>
    <row r="29" spans="1:17" ht="21.95" customHeight="1" x14ac:dyDescent="0.25">
      <c r="A29" s="6">
        <f t="shared" si="3"/>
        <v>24</v>
      </c>
      <c r="B29" s="6" t="s">
        <v>59</v>
      </c>
      <c r="C29" s="6" t="s">
        <v>60</v>
      </c>
      <c r="D29" s="7">
        <v>18</v>
      </c>
      <c r="E29" s="7">
        <v>35000</v>
      </c>
      <c r="F29" s="7">
        <f t="shared" si="5"/>
        <v>630000</v>
      </c>
      <c r="G29" s="7">
        <v>6</v>
      </c>
      <c r="H29" s="7">
        <v>100000</v>
      </c>
      <c r="I29" s="7">
        <f t="shared" si="6"/>
        <v>600000</v>
      </c>
      <c r="J29" s="8"/>
      <c r="K29" s="8"/>
      <c r="L29" s="8">
        <f t="shared" si="7"/>
        <v>0</v>
      </c>
      <c r="M29" s="7"/>
      <c r="N29" s="4">
        <f t="shared" si="4"/>
        <v>1230000</v>
      </c>
      <c r="O29" s="3"/>
      <c r="P29" s="3"/>
      <c r="Q29" s="9"/>
    </row>
    <row r="30" spans="1:17" ht="21.95" customHeight="1" x14ac:dyDescent="0.25">
      <c r="A30" s="6">
        <f t="shared" si="3"/>
        <v>25</v>
      </c>
      <c r="B30" s="6" t="s">
        <v>61</v>
      </c>
      <c r="C30" s="6" t="s">
        <v>62</v>
      </c>
      <c r="D30" s="7">
        <v>11</v>
      </c>
      <c r="E30" s="7">
        <v>35000</v>
      </c>
      <c r="F30" s="7">
        <f t="shared" si="5"/>
        <v>385000</v>
      </c>
      <c r="G30" s="7">
        <v>0</v>
      </c>
      <c r="H30" s="7">
        <v>0</v>
      </c>
      <c r="I30" s="7">
        <f t="shared" si="6"/>
        <v>0</v>
      </c>
      <c r="J30" s="8"/>
      <c r="K30" s="8"/>
      <c r="L30" s="8">
        <f t="shared" si="7"/>
        <v>0</v>
      </c>
      <c r="M30" s="7"/>
      <c r="N30" s="4">
        <f t="shared" si="4"/>
        <v>385000</v>
      </c>
      <c r="O30" s="3"/>
      <c r="P30" s="3"/>
      <c r="Q30" s="9"/>
    </row>
    <row r="31" spans="1:17" ht="21.95" customHeight="1" x14ac:dyDescent="0.25">
      <c r="A31" s="6">
        <f t="shared" si="3"/>
        <v>26</v>
      </c>
      <c r="B31" s="6" t="s">
        <v>63</v>
      </c>
      <c r="C31" s="6" t="s">
        <v>64</v>
      </c>
      <c r="D31" s="7">
        <v>19</v>
      </c>
      <c r="E31" s="7">
        <v>35000</v>
      </c>
      <c r="F31" s="7">
        <f t="shared" si="5"/>
        <v>665000</v>
      </c>
      <c r="G31" s="7">
        <v>5</v>
      </c>
      <c r="H31" s="7">
        <v>100000</v>
      </c>
      <c r="I31" s="7">
        <f t="shared" si="6"/>
        <v>500000</v>
      </c>
      <c r="J31" s="8"/>
      <c r="K31" s="8"/>
      <c r="L31" s="8">
        <f t="shared" si="7"/>
        <v>0</v>
      </c>
      <c r="M31" s="7"/>
      <c r="N31" s="4">
        <f t="shared" si="4"/>
        <v>1165000</v>
      </c>
      <c r="O31" s="3"/>
      <c r="P31" s="3"/>
      <c r="Q31" s="9"/>
    </row>
    <row r="32" spans="1:17" ht="21.95" customHeight="1" x14ac:dyDescent="0.25">
      <c r="A32" s="6">
        <f t="shared" si="3"/>
        <v>27</v>
      </c>
      <c r="B32" s="6" t="s">
        <v>65</v>
      </c>
      <c r="C32" s="6" t="s">
        <v>66</v>
      </c>
      <c r="D32" s="7">
        <v>16</v>
      </c>
      <c r="E32" s="7">
        <v>35000</v>
      </c>
      <c r="F32" s="7">
        <f t="shared" si="5"/>
        <v>560000</v>
      </c>
      <c r="G32" s="7">
        <v>7</v>
      </c>
      <c r="H32" s="7">
        <v>100000</v>
      </c>
      <c r="I32" s="7">
        <f t="shared" si="6"/>
        <v>700000</v>
      </c>
      <c r="J32" s="8"/>
      <c r="K32" s="8"/>
      <c r="L32" s="8">
        <f t="shared" si="7"/>
        <v>0</v>
      </c>
      <c r="M32" s="7"/>
      <c r="N32" s="4">
        <f t="shared" si="4"/>
        <v>1260000</v>
      </c>
      <c r="O32" s="3"/>
      <c r="P32" s="3"/>
      <c r="Q32" s="9"/>
    </row>
    <row r="33" spans="1:17" ht="21.95" customHeight="1" x14ac:dyDescent="0.25">
      <c r="A33" s="6">
        <f t="shared" si="3"/>
        <v>28</v>
      </c>
      <c r="B33" s="6" t="s">
        <v>67</v>
      </c>
      <c r="C33" s="6" t="s">
        <v>68</v>
      </c>
      <c r="D33" s="7">
        <v>17</v>
      </c>
      <c r="E33" s="7">
        <v>35000</v>
      </c>
      <c r="F33" s="7">
        <f t="shared" si="5"/>
        <v>595000</v>
      </c>
      <c r="G33" s="7">
        <v>7</v>
      </c>
      <c r="H33" s="7">
        <v>100000</v>
      </c>
      <c r="I33" s="7">
        <f t="shared" si="6"/>
        <v>700000</v>
      </c>
      <c r="J33" s="8"/>
      <c r="K33" s="8"/>
      <c r="L33" s="8">
        <f t="shared" si="7"/>
        <v>0</v>
      </c>
      <c r="M33" s="7"/>
      <c r="N33" s="4">
        <f t="shared" si="4"/>
        <v>1295000</v>
      </c>
      <c r="O33" s="3"/>
      <c r="P33" s="3"/>
      <c r="Q33" s="9"/>
    </row>
    <row r="34" spans="1:17" ht="21.95" customHeight="1" x14ac:dyDescent="0.25">
      <c r="A34" s="6">
        <f t="shared" si="3"/>
        <v>29</v>
      </c>
      <c r="B34" s="6" t="s">
        <v>69</v>
      </c>
      <c r="C34" s="6" t="s">
        <v>70</v>
      </c>
      <c r="D34" s="7">
        <v>14</v>
      </c>
      <c r="E34" s="7">
        <v>35000</v>
      </c>
      <c r="F34" s="7">
        <f t="shared" si="5"/>
        <v>490000</v>
      </c>
      <c r="G34" s="7">
        <v>6</v>
      </c>
      <c r="H34" s="7">
        <v>100000</v>
      </c>
      <c r="I34" s="7">
        <f t="shared" si="6"/>
        <v>600000</v>
      </c>
      <c r="J34" s="8"/>
      <c r="K34" s="8"/>
      <c r="L34" s="8">
        <f t="shared" si="7"/>
        <v>0</v>
      </c>
      <c r="M34" s="7"/>
      <c r="N34" s="4">
        <f t="shared" si="4"/>
        <v>1090000</v>
      </c>
      <c r="O34" s="3"/>
      <c r="P34" s="3"/>
      <c r="Q34" s="9"/>
    </row>
    <row r="35" spans="1:17" ht="21.95" customHeight="1" x14ac:dyDescent="0.25">
      <c r="A35" s="6">
        <f t="shared" si="3"/>
        <v>30</v>
      </c>
      <c r="B35" s="6" t="s">
        <v>71</v>
      </c>
      <c r="C35" s="6" t="s">
        <v>72</v>
      </c>
      <c r="D35" s="7">
        <v>18</v>
      </c>
      <c r="E35" s="7">
        <v>35000</v>
      </c>
      <c r="F35" s="7">
        <f t="shared" si="5"/>
        <v>630000</v>
      </c>
      <c r="G35" s="7">
        <v>6</v>
      </c>
      <c r="H35" s="7">
        <v>100000</v>
      </c>
      <c r="I35" s="7">
        <f t="shared" si="6"/>
        <v>600000</v>
      </c>
      <c r="J35" s="8"/>
      <c r="K35" s="8"/>
      <c r="L35" s="8">
        <f t="shared" si="7"/>
        <v>0</v>
      </c>
      <c r="M35" s="7"/>
      <c r="N35" s="4">
        <f t="shared" si="4"/>
        <v>1230000</v>
      </c>
      <c r="O35" s="3"/>
      <c r="P35" s="3"/>
      <c r="Q35" s="9"/>
    </row>
    <row r="36" spans="1:17" ht="21.95" customHeight="1" x14ac:dyDescent="0.25">
      <c r="A36" s="6">
        <f t="shared" si="3"/>
        <v>31</v>
      </c>
      <c r="B36" s="6" t="s">
        <v>73</v>
      </c>
      <c r="C36" s="6" t="s">
        <v>74</v>
      </c>
      <c r="D36" s="7">
        <v>17</v>
      </c>
      <c r="E36" s="7">
        <v>35000</v>
      </c>
      <c r="F36" s="7">
        <f t="shared" si="5"/>
        <v>595000</v>
      </c>
      <c r="G36" s="7">
        <v>7</v>
      </c>
      <c r="H36" s="7">
        <v>100000</v>
      </c>
      <c r="I36" s="7">
        <f t="shared" si="6"/>
        <v>700000</v>
      </c>
      <c r="J36" s="8"/>
      <c r="K36" s="8"/>
      <c r="L36" s="8">
        <f t="shared" si="7"/>
        <v>0</v>
      </c>
      <c r="M36" s="7"/>
      <c r="N36" s="4">
        <f t="shared" si="4"/>
        <v>1295000</v>
      </c>
      <c r="O36" s="3"/>
      <c r="P36" s="3"/>
      <c r="Q36" s="9"/>
    </row>
    <row r="37" spans="1:17" ht="21.95" customHeight="1" x14ac:dyDescent="0.25">
      <c r="A37" s="6">
        <f t="shared" si="3"/>
        <v>32</v>
      </c>
      <c r="B37" s="6" t="s">
        <v>75</v>
      </c>
      <c r="C37" s="6" t="s">
        <v>76</v>
      </c>
      <c r="D37" s="7">
        <v>11</v>
      </c>
      <c r="E37" s="7">
        <v>35000</v>
      </c>
      <c r="F37" s="7">
        <f t="shared" si="5"/>
        <v>385000</v>
      </c>
      <c r="G37" s="7">
        <v>0</v>
      </c>
      <c r="H37" s="7">
        <v>0</v>
      </c>
      <c r="I37" s="7">
        <f t="shared" si="6"/>
        <v>0</v>
      </c>
      <c r="J37" s="8"/>
      <c r="K37" s="8"/>
      <c r="L37" s="8">
        <f t="shared" si="7"/>
        <v>0</v>
      </c>
      <c r="M37" s="7"/>
      <c r="N37" s="4">
        <f t="shared" si="4"/>
        <v>385000</v>
      </c>
      <c r="O37" s="3"/>
      <c r="P37" s="3"/>
      <c r="Q37" s="9"/>
    </row>
    <row r="38" spans="1:17" ht="21.95" customHeight="1" x14ac:dyDescent="0.25">
      <c r="A38" s="6">
        <f t="shared" si="3"/>
        <v>33</v>
      </c>
      <c r="B38" s="6" t="s">
        <v>77</v>
      </c>
      <c r="C38" s="6" t="s">
        <v>78</v>
      </c>
      <c r="D38" s="7">
        <v>10</v>
      </c>
      <c r="E38" s="7">
        <v>35000</v>
      </c>
      <c r="F38" s="7">
        <f t="shared" si="5"/>
        <v>350000</v>
      </c>
      <c r="G38" s="7">
        <v>0</v>
      </c>
      <c r="H38" s="7">
        <v>0</v>
      </c>
      <c r="I38" s="7">
        <f t="shared" si="6"/>
        <v>0</v>
      </c>
      <c r="J38" s="8"/>
      <c r="K38" s="8"/>
      <c r="L38" s="8">
        <f t="shared" si="7"/>
        <v>0</v>
      </c>
      <c r="M38" s="7"/>
      <c r="N38" s="4">
        <f t="shared" si="4"/>
        <v>350000</v>
      </c>
      <c r="O38" s="3"/>
      <c r="P38" s="3"/>
      <c r="Q38" s="9"/>
    </row>
    <row r="39" spans="1:17" ht="21.95" customHeight="1" x14ac:dyDescent="0.25">
      <c r="A39" s="6">
        <f t="shared" si="3"/>
        <v>34</v>
      </c>
      <c r="B39" s="6" t="s">
        <v>79</v>
      </c>
      <c r="C39" s="6" t="s">
        <v>80</v>
      </c>
      <c r="D39" s="7">
        <v>11</v>
      </c>
      <c r="E39" s="7">
        <v>35000</v>
      </c>
      <c r="F39" s="7">
        <f t="shared" si="5"/>
        <v>385000</v>
      </c>
      <c r="G39" s="7">
        <v>0</v>
      </c>
      <c r="H39" s="7">
        <v>0</v>
      </c>
      <c r="I39" s="7">
        <f t="shared" si="6"/>
        <v>0</v>
      </c>
      <c r="J39" s="8"/>
      <c r="K39" s="8"/>
      <c r="L39" s="8">
        <f t="shared" si="7"/>
        <v>0</v>
      </c>
      <c r="M39" s="7"/>
      <c r="N39" s="4">
        <f t="shared" si="4"/>
        <v>385000</v>
      </c>
      <c r="O39" s="3"/>
      <c r="P39" s="3"/>
      <c r="Q39" s="9"/>
    </row>
    <row r="40" spans="1:17" ht="18" customHeight="1" x14ac:dyDescent="0.25">
      <c r="A40" s="6"/>
      <c r="B40" s="6"/>
      <c r="C40" s="6"/>
      <c r="D40" s="3"/>
      <c r="E40" s="3"/>
      <c r="F40" s="3"/>
      <c r="G40" s="3"/>
      <c r="H40" s="3"/>
      <c r="I40" s="3"/>
      <c r="J40" s="3"/>
      <c r="K40" s="3"/>
      <c r="L40" s="10" t="s">
        <v>82</v>
      </c>
      <c r="M40" s="10"/>
      <c r="N40" s="13">
        <f xml:space="preserve"> SUM(N6:N39)</f>
        <v>22270000</v>
      </c>
      <c r="O40" s="14"/>
      <c r="P40" s="15"/>
      <c r="Q40" s="9"/>
    </row>
  </sheetData>
  <mergeCells count="3">
    <mergeCell ref="L40:M40"/>
    <mergeCell ref="A3:O3"/>
    <mergeCell ref="N40:P40"/>
  </mergeCells>
  <pageMargins left="0.25" right="0.25" top="0.75" bottom="0.48" header="0.3" footer="0.3"/>
  <pageSetup paperSize="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 an dot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Nguyen-Nhan</cp:lastModifiedBy>
  <cp:lastPrinted>2026-05-06T04:50:41Z</cp:lastPrinted>
  <dcterms:created xsi:type="dcterms:W3CDTF">2026-04-29T06:56:40Z</dcterms:created>
  <dcterms:modified xsi:type="dcterms:W3CDTF">2026-05-08T09:08:15Z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2026-04-29T06:57:03Z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23b32ea1-9287-416e-a140-ae3b1195252e</vt:lpwstr>
  </property>
  <property fmtid="{D5CDD505-2E9C-101B-9397-08002B2CF9AE}" pid="7" name="MSIP_Label_defa4170-0d19-0005-0004-bc88714345d2_ActionId">
    <vt:lpwstr>6b38bda0-29cb-4a9e-af6c-42bd2e748d7d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